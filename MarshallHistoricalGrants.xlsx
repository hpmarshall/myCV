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pmarshall/HP_DRIVE/CV/"/>
    </mc:Choice>
  </mc:AlternateContent>
  <xr:revisionPtr revIDLastSave="0" documentId="13_ncr:1_{F0A55494-FD3C-A74A-97D8-A0A56320B0B0}" xr6:coauthVersionLast="47" xr6:coauthVersionMax="47" xr10:uidLastSave="{00000000-0000-0000-0000-000000000000}"/>
  <bookViews>
    <workbookView xWindow="1400" yWindow="1300" windowWidth="32660" windowHeight="18300" xr2:uid="{60B609FF-9725-684F-86A7-453A64B643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F58" i="1" s="1"/>
  <c r="G47" i="1"/>
  <c r="G44" i="1"/>
  <c r="G35" i="1"/>
  <c r="G38" i="1"/>
  <c r="G58" i="1" l="1"/>
  <c r="F60" i="1"/>
  <c r="G34" i="1"/>
  <c r="G33" i="1"/>
  <c r="G36" i="1"/>
  <c r="G28" i="1"/>
  <c r="G26" i="1"/>
  <c r="G25" i="1"/>
  <c r="G22" i="1"/>
  <c r="G21" i="1"/>
  <c r="G17" i="1"/>
  <c r="G16" i="1"/>
  <c r="G15" i="1"/>
  <c r="G14" i="1"/>
  <c r="G13" i="1"/>
  <c r="G12" i="1"/>
  <c r="G11" i="1"/>
  <c r="G9" i="1"/>
  <c r="G6" i="1"/>
  <c r="G60" i="1" l="1"/>
</calcChain>
</file>

<file path=xl/sharedStrings.xml><?xml version="1.0" encoding="utf-8"?>
<sst xmlns="http://schemas.openxmlformats.org/spreadsheetml/2006/main" count="313" uniqueCount="197">
  <si>
    <t>Grant Record Historical:  Hans-Peter Marshall</t>
  </si>
  <si>
    <t>Agency</t>
  </si>
  <si>
    <t>Short Title</t>
  </si>
  <si>
    <t>Role</t>
  </si>
  <si>
    <t>Dates</t>
  </si>
  <si>
    <t>Total Award</t>
  </si>
  <si>
    <t>BSU Award</t>
  </si>
  <si>
    <t>NSF</t>
  </si>
  <si>
    <t>Radar Scattering from Water Pathways in Glaciers</t>
  </si>
  <si>
    <t>PI</t>
  </si>
  <si>
    <t>9/2005-8/2010</t>
  </si>
  <si>
    <t>Program</t>
  </si>
  <si>
    <t>Arctic Sciences</t>
  </si>
  <si>
    <t>NASA</t>
  </si>
  <si>
    <t>Terrestrial Hydrology, NEWS</t>
  </si>
  <si>
    <t>Snowpack Properties with Radar</t>
  </si>
  <si>
    <t>8/2006-7/2009</t>
  </si>
  <si>
    <t>Northumbria (UK), Univ Utah</t>
  </si>
  <si>
    <t>Univ Washington</t>
  </si>
  <si>
    <t>Ground-based calibration/validation for CLPX-II</t>
  </si>
  <si>
    <t>8/2010-8/2012</t>
  </si>
  <si>
    <t>USFS Rocky Mountain Research Station</t>
  </si>
  <si>
    <t>Wideband Instrument for Snow Measurements (WISM)</t>
  </si>
  <si>
    <t>Co-PI</t>
  </si>
  <si>
    <t>11/2011-12/2014</t>
  </si>
  <si>
    <t>Harris Corp, NASA Goddard, UW, Nuvotronics LLC</t>
  </si>
  <si>
    <t>ITD</t>
  </si>
  <si>
    <t>Transportation Research Program</t>
  </si>
  <si>
    <t>Avalanche forecasting model for HW 12 and 21</t>
  </si>
  <si>
    <t>9/2010-8/2011</t>
  </si>
  <si>
    <t>ITD avalanche forecasters</t>
  </si>
  <si>
    <t>Oil industry</t>
  </si>
  <si>
    <t>DF Dickins Associates and consortium</t>
  </si>
  <si>
    <t>Airborne radar for detecting oil under sea ice</t>
  </si>
  <si>
    <t>1/2010-12/2012</t>
  </si>
  <si>
    <t>Oil companies</t>
  </si>
  <si>
    <t>X-ray tomography and SMP</t>
  </si>
  <si>
    <t>9/2010-12/2013</t>
  </si>
  <si>
    <t xml:space="preserve">Hydrologic Sciences </t>
  </si>
  <si>
    <t>Lateral Flow in Alpine Snow</t>
  </si>
  <si>
    <t>4/2010-3/2013</t>
  </si>
  <si>
    <t>New Investigator Program (NIP)</t>
  </si>
  <si>
    <t>Instrument Incubator Program (IIP)</t>
  </si>
  <si>
    <t>Terrestrial Hydrology Program (THP)</t>
  </si>
  <si>
    <t>Improving SWE estimates from microwave radar</t>
  </si>
  <si>
    <t>9/2010-8/2013</t>
  </si>
  <si>
    <t>first in Idaho History</t>
  </si>
  <si>
    <t>Experimental Program to Stimulate Compeititve Research (EPSCoR)</t>
  </si>
  <si>
    <t>Remote sensing of the Cryosphere: Cal/Val</t>
  </si>
  <si>
    <t>1/2011-12/2013</t>
  </si>
  <si>
    <t>Infrasound avalanche detection system for HW21</t>
  </si>
  <si>
    <t>9/2012-8/2015</t>
  </si>
  <si>
    <t>RAPID</t>
  </si>
  <si>
    <t>track ablation using stable isotopes</t>
  </si>
  <si>
    <t>4/2012-4/2013</t>
  </si>
  <si>
    <t>collaborate with hydrology group</t>
  </si>
  <si>
    <t>SLF</t>
  </si>
  <si>
    <t>Development of laser-ultrasonic ice core tomography</t>
  </si>
  <si>
    <t>9/2012-8/2013</t>
  </si>
  <si>
    <t>GPU-accelerated HPC and Visualization Cluster</t>
  </si>
  <si>
    <t>OGP</t>
  </si>
  <si>
    <t>Internationall Association of Oil and Gas Producers (OGP)</t>
  </si>
  <si>
    <t>Idaho Transportation Department (ITD)</t>
  </si>
  <si>
    <t>Major Research Instrumentation (MRI)</t>
  </si>
  <si>
    <t>Remote sensing tests with oil in ice</t>
  </si>
  <si>
    <t>1/2014-12/2014</t>
  </si>
  <si>
    <t>oil industry</t>
  </si>
  <si>
    <t>NASA SnowSchool</t>
  </si>
  <si>
    <t>snow community education</t>
  </si>
  <si>
    <t>DoD</t>
  </si>
  <si>
    <t>US Army Basic Research Program</t>
  </si>
  <si>
    <t>Accuracy of SWE using radar phase</t>
  </si>
  <si>
    <t>10/2013-9/2016</t>
  </si>
  <si>
    <t>expert consultant with CRREL</t>
  </si>
  <si>
    <t>Monitoring Earth's Hydrosphere</t>
  </si>
  <si>
    <t>6/2014-6/2018</t>
  </si>
  <si>
    <t>Micrwave remote sensing for SWE from space: DA</t>
  </si>
  <si>
    <t>7/2015-6/2018</t>
  </si>
  <si>
    <t>Office of Polar Programs (OPP)</t>
  </si>
  <si>
    <t>Greenland Traverse for Acumulation and Climate Studies (GreenTrACS)</t>
  </si>
  <si>
    <t>1/2015-12/2017</t>
  </si>
  <si>
    <t>Broadband array technology in support of SCLP Mission</t>
  </si>
  <si>
    <t>2/2015-5/2017</t>
  </si>
  <si>
    <t>TARP</t>
  </si>
  <si>
    <t>U.S. Department of Transportation Avalanche Research Program (TARP)</t>
  </si>
  <si>
    <t>Infrasound avalanche detection: comparison of multiple technologies</t>
  </si>
  <si>
    <t>6/2017-8/2018</t>
  </si>
  <si>
    <t>JPL</t>
  </si>
  <si>
    <t>NASA Jet Propulsion Laboratory</t>
  </si>
  <si>
    <t>ASO and UAVSAR data fusion: exploring advantages of lidar+InSAR</t>
  </si>
  <si>
    <t>L-band InSAR for depth and SWE</t>
  </si>
  <si>
    <t>6/2017-6/2022</t>
  </si>
  <si>
    <t>Patterns in ground-based remote sensing and in-situ observations</t>
  </si>
  <si>
    <t>Using SnowEx Y1 data to assess and improve snow in forests and shrubs</t>
  </si>
  <si>
    <t>6/2018-6/2021</t>
  </si>
  <si>
    <t>Terrestrial Hydrology Program (THP-16)</t>
  </si>
  <si>
    <t>Terrestrial Hydrology Program (THP-17)</t>
  </si>
  <si>
    <t xml:space="preserve">NASA </t>
  </si>
  <si>
    <t>Constraining algorithms for SWE through GPR during SnowEx</t>
  </si>
  <si>
    <t>CSU, UNM</t>
  </si>
  <si>
    <t>Infrasound avalanche monitoring: enhancements in LCC</t>
  </si>
  <si>
    <t>Continuous snow temperature monitoring at Banner Summit, ID</t>
  </si>
  <si>
    <t>9/2018-12/2020</t>
  </si>
  <si>
    <t>Earth Systems Science Fellowshop (ESSF), Scot Havens</t>
  </si>
  <si>
    <t>NASA Earth and Space Science Fellowship (NESSF), Joel Gongora</t>
  </si>
  <si>
    <t>machine learning</t>
  </si>
  <si>
    <t>9/2018-8/2023</t>
  </si>
  <si>
    <t>5/2019-12/2021</t>
  </si>
  <si>
    <t>Optimal Sampling, Deep and Shallow Learning: SnowNet</t>
  </si>
  <si>
    <t>ID Dept Commerce</t>
  </si>
  <si>
    <t>Idaho Global Entrepreneurial Mission (IGEM)</t>
  </si>
  <si>
    <t>A general purpose goniometer</t>
  </si>
  <si>
    <t>6/2018-7/2020</t>
  </si>
  <si>
    <t>Development of a long range UAV for sea ice monitoring</t>
  </si>
  <si>
    <t>9/2018-8/2024</t>
  </si>
  <si>
    <t>JPL, UCLA</t>
  </si>
  <si>
    <t>US Army Cold Regions Research and Engineering Lab (CRREL) BAA</t>
  </si>
  <si>
    <t>Advancement of snow monitoring for water resources, mobility, hazards</t>
  </si>
  <si>
    <t>9/2020-8/2022</t>
  </si>
  <si>
    <t>geophysics group</t>
  </si>
  <si>
    <t xml:space="preserve">CryoIdaho: Building Idaho’s Cryosphere Research Community </t>
  </si>
  <si>
    <t>1/2021-12/2023</t>
  </si>
  <si>
    <t>cryosphere</t>
  </si>
  <si>
    <t>SnowEx 2020-2021 LiDAR</t>
  </si>
  <si>
    <t>12/2020-8/2022</t>
  </si>
  <si>
    <t>snowex</t>
  </si>
  <si>
    <t xml:space="preserve">Digitally Enhanced Meta-surface CMOS Radar/Radiometer for Snow </t>
  </si>
  <si>
    <t>USFS</t>
  </si>
  <si>
    <t>Rocky Mountain Research Station</t>
  </si>
  <si>
    <t>Snow temperature monitoring and modeling</t>
  </si>
  <si>
    <t>10/2021-9/2024</t>
  </si>
  <si>
    <t>Arctic Observing Network (AON)</t>
  </si>
  <si>
    <t>NERC, NSF GEO, WSU, Dartmouth</t>
  </si>
  <si>
    <t>ICECAPS-MELT</t>
  </si>
  <si>
    <t>Terrestrial Hydrology Program (THP-20)</t>
  </si>
  <si>
    <t>GPR for LWC and InSAR</t>
  </si>
  <si>
    <t>UWY, UNM, CSU</t>
  </si>
  <si>
    <t>Instrument Incubator Program (IIP-19)</t>
  </si>
  <si>
    <t>Instrument Incubator Program (IIP-21)</t>
  </si>
  <si>
    <t xml:space="preserve">Snow Water equivalent Wideswath SAR and InSAR (SNOWWI) </t>
  </si>
  <si>
    <t>UMass, CRREL</t>
  </si>
  <si>
    <t>SnowEx 2022-2023 Leadership Team</t>
  </si>
  <si>
    <t>6/2022-9/2024</t>
  </si>
  <si>
    <t>Goddard, UAF, USFS, OSU</t>
  </si>
  <si>
    <t>Signals of Opportunity: Grand Mesa airborne campaign</t>
  </si>
  <si>
    <t>1/2023-9/2023</t>
  </si>
  <si>
    <t>JPL , snow satellite mission</t>
  </si>
  <si>
    <t>UCSB/DRI/LBNL/BSU TriState Snow Consortium</t>
  </si>
  <si>
    <t>Mountain Climate and Natural Hazards</t>
  </si>
  <si>
    <t>UCSB,DRI,LBNL,CRREL</t>
  </si>
  <si>
    <t>DoD CRREL</t>
  </si>
  <si>
    <t>Evaluating NISAR's InSAR Potential in Snow Covered Regions</t>
  </si>
  <si>
    <t>Future Investigators in NASA Earth and Space Science and Technology (FINESST), Zach Hoppinen</t>
  </si>
  <si>
    <t>9/2023-8/2026</t>
  </si>
  <si>
    <t>big data</t>
  </si>
  <si>
    <t>total</t>
  </si>
  <si>
    <t>active awards</t>
  </si>
  <si>
    <t>Collaborating Partners, Institutions</t>
  </si>
  <si>
    <t>BSU volcanology group</t>
  </si>
  <si>
    <t>BSU geochemistry group</t>
  </si>
  <si>
    <t>BSU seismology group</t>
  </si>
  <si>
    <t>BSU computer science</t>
  </si>
  <si>
    <t>BSU hydrology</t>
  </si>
  <si>
    <t>Dartmouth</t>
  </si>
  <si>
    <t>BSU Electrical Engineering</t>
  </si>
  <si>
    <t>CRREL</t>
  </si>
  <si>
    <t>Goddard, USFS, CRREL</t>
  </si>
  <si>
    <t>NRCS</t>
  </si>
  <si>
    <t>UAF</t>
  </si>
  <si>
    <t>1/2022-12/2024</t>
  </si>
  <si>
    <t>Snow strength mapping for mobility applications: combining field observations, radar remote sensing, and modeling to create local to global snow trafficability products</t>
  </si>
  <si>
    <t>7/2024-7/2027</t>
  </si>
  <si>
    <t>CSU, USFS</t>
  </si>
  <si>
    <t>2/2020-8/2024</t>
  </si>
  <si>
    <t>1/2022-11/2025</t>
  </si>
  <si>
    <t>1/2022-2/2026</t>
  </si>
  <si>
    <t>9/2023-1/2026</t>
  </si>
  <si>
    <t>BAA</t>
  </si>
  <si>
    <t>Terrestrial Hydrology Program (THP-24)</t>
  </si>
  <si>
    <t>Development of a multi-frequency InSAR phase data assimilation framework for improved seasonal SWE characterization</t>
  </si>
  <si>
    <t>6/2025-5/2028</t>
  </si>
  <si>
    <t>SnowEx Alaska synthesis: deriving and validating spatially distributed SWE from NASA's SWESARR using in-situ, airborne, and modeled data</t>
  </si>
  <si>
    <t>UAF, Goddard</t>
  </si>
  <si>
    <t>UCLA, JPL, Berkely, CRREL</t>
  </si>
  <si>
    <t>NISAR for global snow water equivalent: Evaluating L-band InSAR for basin scale snow monitoring by leveraging airborne lidar, modeling, and the SnowEx campaigns</t>
  </si>
  <si>
    <t>Collaborator</t>
  </si>
  <si>
    <t>Goddard, USFS, USGS, ASO, M3Works</t>
  </si>
  <si>
    <t>A C- and L-band Fusion for Global NISAR SWE Retrievals</t>
  </si>
  <si>
    <t>CRREL, CU</t>
  </si>
  <si>
    <t>Belgian National Science Foundation</t>
  </si>
  <si>
    <t>9/2024-9/2029</t>
  </si>
  <si>
    <t>WaveTRAXS</t>
  </si>
  <si>
    <t>Earth Observation</t>
  </si>
  <si>
    <t>US Department of Interior</t>
  </si>
  <si>
    <t>Bureau of Reclamation</t>
  </si>
  <si>
    <t>Snow Water Equivalent landing strip</t>
  </si>
  <si>
    <t>2/2024-2/2026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</si>
</sst>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0" fillId="2" borderId="0" xfId="0" applyFill="1"/>
    <xf numFmtId="164" fontId="0" fillId="0" borderId="0" xfId="1" applyNumberFormat="1" applyFont="1" applyFill="1"/>
    <xf numFmtId="0" fontId="0" fillId="0" borderId="0" xfId="0" applyFill="1"/>
    <xf numFmtId="164" fontId="0" fillId="0" borderId="0" xfId="0" applyNumberFormat="1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wrapText="1"/>
    </xf>
    <xf numFmtId="164" fontId="0" fillId="0" borderId="0" xfId="0" applyNumberFormat="1" applyFill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6294-21B1-A74B-8548-F2276328994F}">
  <dimension ref="A1:S63"/>
  <sheetViews>
    <sheetView tabSelected="1" topLeftCell="A34" zoomScale="125" zoomScaleNormal="125" workbookViewId="0">
      <selection activeCell="C59" sqref="C59"/>
    </sheetView>
  </sheetViews>
  <sheetFormatPr baseColWidth="10" defaultRowHeight="16" x14ac:dyDescent="0.2"/>
  <cols>
    <col min="1" max="1" width="31.83203125" customWidth="1"/>
    <col min="2" max="2" width="59" customWidth="1"/>
    <col min="3" max="3" width="61.33203125" customWidth="1"/>
    <col min="5" max="5" width="17.6640625" customWidth="1"/>
    <col min="6" max="6" width="13.1640625" customWidth="1"/>
    <col min="7" max="7" width="13.33203125" customWidth="1"/>
  </cols>
  <sheetData>
    <row r="1" spans="1:9" x14ac:dyDescent="0.2">
      <c r="A1" t="s">
        <v>0</v>
      </c>
    </row>
    <row r="3" spans="1:9" x14ac:dyDescent="0.2">
      <c r="A3" s="3" t="s">
        <v>1</v>
      </c>
      <c r="B3" s="3" t="s">
        <v>11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157</v>
      </c>
      <c r="I3" s="3"/>
    </row>
    <row r="4" spans="1:9" x14ac:dyDescent="0.2">
      <c r="A4" t="s">
        <v>7</v>
      </c>
      <c r="B4" t="s">
        <v>12</v>
      </c>
      <c r="C4" t="s">
        <v>8</v>
      </c>
      <c r="D4" t="s">
        <v>9</v>
      </c>
      <c r="E4" t="s">
        <v>10</v>
      </c>
      <c r="F4" s="1">
        <v>69785</v>
      </c>
      <c r="G4" s="1">
        <v>0</v>
      </c>
      <c r="H4" t="s">
        <v>18</v>
      </c>
    </row>
    <row r="5" spans="1:9" x14ac:dyDescent="0.2">
      <c r="A5" t="s">
        <v>13</v>
      </c>
      <c r="B5" t="s">
        <v>14</v>
      </c>
      <c r="C5" t="s">
        <v>15</v>
      </c>
      <c r="D5" t="s">
        <v>9</v>
      </c>
      <c r="E5" t="s">
        <v>16</v>
      </c>
      <c r="F5" s="1">
        <v>462132</v>
      </c>
      <c r="G5" s="1">
        <v>114232</v>
      </c>
      <c r="H5" t="s">
        <v>17</v>
      </c>
    </row>
    <row r="6" spans="1:9" x14ac:dyDescent="0.2">
      <c r="A6" t="s">
        <v>13</v>
      </c>
      <c r="B6" t="s">
        <v>43</v>
      </c>
      <c r="C6" t="s">
        <v>19</v>
      </c>
      <c r="D6" t="s">
        <v>9</v>
      </c>
      <c r="E6" t="s">
        <v>20</v>
      </c>
      <c r="F6" s="1">
        <v>35468</v>
      </c>
      <c r="G6" s="1">
        <f>F6</f>
        <v>35468</v>
      </c>
      <c r="H6" t="s">
        <v>21</v>
      </c>
    </row>
    <row r="7" spans="1:9" x14ac:dyDescent="0.2">
      <c r="A7" t="s">
        <v>13</v>
      </c>
      <c r="B7" t="s">
        <v>42</v>
      </c>
      <c r="C7" t="s">
        <v>22</v>
      </c>
      <c r="D7" t="s">
        <v>9</v>
      </c>
      <c r="E7" t="s">
        <v>24</v>
      </c>
      <c r="F7" s="1">
        <v>4000000</v>
      </c>
      <c r="G7" s="1">
        <v>94947</v>
      </c>
      <c r="H7" t="s">
        <v>25</v>
      </c>
    </row>
    <row r="8" spans="1:9" x14ac:dyDescent="0.2">
      <c r="A8" t="s">
        <v>26</v>
      </c>
      <c r="B8" t="s">
        <v>27</v>
      </c>
      <c r="C8" t="s">
        <v>28</v>
      </c>
      <c r="D8" t="s">
        <v>9</v>
      </c>
      <c r="E8" t="s">
        <v>29</v>
      </c>
      <c r="F8" s="1">
        <v>10000</v>
      </c>
      <c r="G8" s="1">
        <v>10000</v>
      </c>
      <c r="H8" t="s">
        <v>30</v>
      </c>
    </row>
    <row r="9" spans="1:9" x14ac:dyDescent="0.2">
      <c r="A9" t="s">
        <v>31</v>
      </c>
      <c r="B9" t="s">
        <v>32</v>
      </c>
      <c r="C9" t="s">
        <v>33</v>
      </c>
      <c r="D9" t="s">
        <v>9</v>
      </c>
      <c r="E9" t="s">
        <v>34</v>
      </c>
      <c r="F9" s="1">
        <v>328747</v>
      </c>
      <c r="G9" s="1">
        <f>F9</f>
        <v>328747</v>
      </c>
      <c r="H9" t="s">
        <v>35</v>
      </c>
    </row>
    <row r="10" spans="1:9" x14ac:dyDescent="0.2">
      <c r="A10" t="s">
        <v>13</v>
      </c>
      <c r="B10" t="s">
        <v>103</v>
      </c>
      <c r="C10" t="s">
        <v>36</v>
      </c>
      <c r="D10" t="s">
        <v>9</v>
      </c>
      <c r="E10" t="s">
        <v>37</v>
      </c>
      <c r="F10" s="1">
        <v>90000</v>
      </c>
      <c r="G10" s="1">
        <v>90000</v>
      </c>
      <c r="H10" t="s">
        <v>56</v>
      </c>
    </row>
    <row r="11" spans="1:9" x14ac:dyDescent="0.2">
      <c r="A11" t="s">
        <v>7</v>
      </c>
      <c r="B11" t="s">
        <v>38</v>
      </c>
      <c r="C11" t="s">
        <v>39</v>
      </c>
      <c r="D11" t="s">
        <v>9</v>
      </c>
      <c r="E11" t="s">
        <v>40</v>
      </c>
      <c r="F11" s="1">
        <v>228963</v>
      </c>
      <c r="G11" s="1">
        <f>F11</f>
        <v>228963</v>
      </c>
      <c r="H11" t="s">
        <v>55</v>
      </c>
    </row>
    <row r="12" spans="1:9" x14ac:dyDescent="0.2">
      <c r="A12" t="s">
        <v>13</v>
      </c>
      <c r="B12" t="s">
        <v>41</v>
      </c>
      <c r="C12" t="s">
        <v>44</v>
      </c>
      <c r="D12" t="s">
        <v>9</v>
      </c>
      <c r="E12" t="s">
        <v>45</v>
      </c>
      <c r="F12" s="1">
        <v>329953</v>
      </c>
      <c r="G12" s="1">
        <f>F12</f>
        <v>329953</v>
      </c>
      <c r="H12" t="s">
        <v>46</v>
      </c>
    </row>
    <row r="13" spans="1:9" x14ac:dyDescent="0.2">
      <c r="A13" t="s">
        <v>13</v>
      </c>
      <c r="B13" t="s">
        <v>47</v>
      </c>
      <c r="C13" t="s">
        <v>48</v>
      </c>
      <c r="D13" t="s">
        <v>9</v>
      </c>
      <c r="E13" t="s">
        <v>49</v>
      </c>
      <c r="F13" s="1">
        <v>1124552</v>
      </c>
      <c r="G13" s="1">
        <f>F13-374932</f>
        <v>749620</v>
      </c>
      <c r="H13" t="s">
        <v>162</v>
      </c>
    </row>
    <row r="14" spans="1:9" x14ac:dyDescent="0.2">
      <c r="A14" t="s">
        <v>26</v>
      </c>
      <c r="B14" t="s">
        <v>62</v>
      </c>
      <c r="C14" t="s">
        <v>50</v>
      </c>
      <c r="D14" t="s">
        <v>9</v>
      </c>
      <c r="E14" t="s">
        <v>51</v>
      </c>
      <c r="F14" s="1">
        <v>100000</v>
      </c>
      <c r="G14" s="1">
        <f>F14</f>
        <v>100000</v>
      </c>
      <c r="H14" t="s">
        <v>158</v>
      </c>
    </row>
    <row r="15" spans="1:9" x14ac:dyDescent="0.2">
      <c r="A15" t="s">
        <v>7</v>
      </c>
      <c r="B15" t="s">
        <v>52</v>
      </c>
      <c r="C15" t="s">
        <v>53</v>
      </c>
      <c r="D15" t="s">
        <v>23</v>
      </c>
      <c r="E15" t="s">
        <v>54</v>
      </c>
      <c r="F15" s="1">
        <v>19912</v>
      </c>
      <c r="G15" s="1">
        <f>F15</f>
        <v>19912</v>
      </c>
      <c r="H15" t="s">
        <v>159</v>
      </c>
    </row>
    <row r="16" spans="1:9" x14ac:dyDescent="0.2">
      <c r="A16" t="s">
        <v>7</v>
      </c>
      <c r="B16" t="s">
        <v>63</v>
      </c>
      <c r="C16" t="s">
        <v>57</v>
      </c>
      <c r="D16" t="s">
        <v>23</v>
      </c>
      <c r="E16" t="s">
        <v>58</v>
      </c>
      <c r="F16" s="1">
        <v>336122</v>
      </c>
      <c r="G16" s="1">
        <f>F16</f>
        <v>336122</v>
      </c>
      <c r="H16" t="s">
        <v>160</v>
      </c>
    </row>
    <row r="17" spans="1:8" x14ac:dyDescent="0.2">
      <c r="A17" t="s">
        <v>7</v>
      </c>
      <c r="B17" t="s">
        <v>63</v>
      </c>
      <c r="C17" t="s">
        <v>59</v>
      </c>
      <c r="D17" t="s">
        <v>23</v>
      </c>
      <c r="E17" t="s">
        <v>58</v>
      </c>
      <c r="F17" s="1">
        <v>555384</v>
      </c>
      <c r="G17" s="1">
        <f>F17</f>
        <v>555384</v>
      </c>
      <c r="H17" t="s">
        <v>161</v>
      </c>
    </row>
    <row r="18" spans="1:8" x14ac:dyDescent="0.2">
      <c r="A18" t="s">
        <v>60</v>
      </c>
      <c r="B18" t="s">
        <v>61</v>
      </c>
      <c r="C18" t="s">
        <v>64</v>
      </c>
      <c r="D18" t="s">
        <v>23</v>
      </c>
      <c r="E18" t="s">
        <v>65</v>
      </c>
      <c r="F18" s="1">
        <v>1409449</v>
      </c>
      <c r="G18" s="1">
        <v>128731</v>
      </c>
      <c r="H18" t="s">
        <v>66</v>
      </c>
    </row>
    <row r="19" spans="1:8" x14ac:dyDescent="0.2">
      <c r="A19" t="s">
        <v>13</v>
      </c>
      <c r="B19" t="s">
        <v>43</v>
      </c>
      <c r="C19" t="s">
        <v>67</v>
      </c>
      <c r="D19" t="s">
        <v>23</v>
      </c>
      <c r="E19" t="s">
        <v>65</v>
      </c>
      <c r="F19" s="1">
        <v>65340</v>
      </c>
      <c r="G19" s="1">
        <v>65340</v>
      </c>
      <c r="H19" t="s">
        <v>68</v>
      </c>
    </row>
    <row r="20" spans="1:8" x14ac:dyDescent="0.2">
      <c r="A20" t="s">
        <v>69</v>
      </c>
      <c r="B20" t="s">
        <v>70</v>
      </c>
      <c r="C20" t="s">
        <v>71</v>
      </c>
      <c r="D20" t="s">
        <v>23</v>
      </c>
      <c r="E20" t="s">
        <v>72</v>
      </c>
      <c r="F20" s="1">
        <v>490800</v>
      </c>
      <c r="G20" s="1">
        <v>0</v>
      </c>
      <c r="H20" t="s">
        <v>73</v>
      </c>
    </row>
    <row r="21" spans="1:8" x14ac:dyDescent="0.2">
      <c r="A21" t="s">
        <v>13</v>
      </c>
      <c r="B21" t="s">
        <v>47</v>
      </c>
      <c r="C21" t="s">
        <v>74</v>
      </c>
      <c r="D21" t="s">
        <v>23</v>
      </c>
      <c r="E21" t="s">
        <v>75</v>
      </c>
      <c r="F21" s="1">
        <v>749870</v>
      </c>
      <c r="G21" s="1">
        <f>F21</f>
        <v>749870</v>
      </c>
      <c r="H21" t="s">
        <v>162</v>
      </c>
    </row>
    <row r="22" spans="1:8" x14ac:dyDescent="0.2">
      <c r="A22" t="s">
        <v>13</v>
      </c>
      <c r="B22" t="s">
        <v>43</v>
      </c>
      <c r="C22" t="s">
        <v>76</v>
      </c>
      <c r="D22" t="s">
        <v>23</v>
      </c>
      <c r="E22" t="s">
        <v>77</v>
      </c>
      <c r="F22" s="1">
        <v>295577</v>
      </c>
      <c r="G22" s="1">
        <f>F22</f>
        <v>295577</v>
      </c>
      <c r="H22" t="s">
        <v>162</v>
      </c>
    </row>
    <row r="23" spans="1:8" x14ac:dyDescent="0.2">
      <c r="A23" t="s">
        <v>7</v>
      </c>
      <c r="B23" t="s">
        <v>78</v>
      </c>
      <c r="C23" t="s">
        <v>79</v>
      </c>
      <c r="D23" t="s">
        <v>9</v>
      </c>
      <c r="E23" t="s">
        <v>80</v>
      </c>
      <c r="F23" s="1">
        <v>1000000</v>
      </c>
      <c r="G23" s="1">
        <v>355338</v>
      </c>
      <c r="H23" t="s">
        <v>163</v>
      </c>
    </row>
    <row r="24" spans="1:8" x14ac:dyDescent="0.2">
      <c r="A24" t="s">
        <v>13</v>
      </c>
      <c r="B24" t="s">
        <v>42</v>
      </c>
      <c r="C24" t="s">
        <v>81</v>
      </c>
      <c r="D24" t="s">
        <v>9</v>
      </c>
      <c r="E24" t="s">
        <v>82</v>
      </c>
      <c r="F24" s="1">
        <v>3000000</v>
      </c>
      <c r="G24" s="1">
        <v>330000</v>
      </c>
      <c r="H24" t="s">
        <v>25</v>
      </c>
    </row>
    <row r="25" spans="1:8" x14ac:dyDescent="0.2">
      <c r="A25" t="s">
        <v>83</v>
      </c>
      <c r="B25" t="s">
        <v>84</v>
      </c>
      <c r="C25" t="s">
        <v>85</v>
      </c>
      <c r="D25" t="s">
        <v>9</v>
      </c>
      <c r="E25" t="s">
        <v>86</v>
      </c>
      <c r="F25" s="1">
        <v>99339</v>
      </c>
      <c r="G25" s="1">
        <f>F25</f>
        <v>99339</v>
      </c>
      <c r="H25" t="s">
        <v>164</v>
      </c>
    </row>
    <row r="26" spans="1:8" x14ac:dyDescent="0.2">
      <c r="A26" t="s">
        <v>87</v>
      </c>
      <c r="B26" t="s">
        <v>88</v>
      </c>
      <c r="C26" t="s">
        <v>89</v>
      </c>
      <c r="D26" t="s">
        <v>9</v>
      </c>
      <c r="E26" t="s">
        <v>86</v>
      </c>
      <c r="F26" s="1">
        <v>21103</v>
      </c>
      <c r="G26" s="1">
        <f>F26</f>
        <v>21103</v>
      </c>
      <c r="H26" t="s">
        <v>87</v>
      </c>
    </row>
    <row r="27" spans="1:8" x14ac:dyDescent="0.2">
      <c r="A27" t="s">
        <v>13</v>
      </c>
      <c r="B27" t="s">
        <v>95</v>
      </c>
      <c r="C27" t="s">
        <v>90</v>
      </c>
      <c r="D27" t="s">
        <v>23</v>
      </c>
      <c r="E27" t="s">
        <v>91</v>
      </c>
      <c r="F27" s="1">
        <v>450000</v>
      </c>
      <c r="G27" s="1">
        <v>75736</v>
      </c>
      <c r="H27" t="s">
        <v>165</v>
      </c>
    </row>
    <row r="28" spans="1:8" x14ac:dyDescent="0.2">
      <c r="A28" t="s">
        <v>13</v>
      </c>
      <c r="B28" t="s">
        <v>95</v>
      </c>
      <c r="C28" t="s">
        <v>92</v>
      </c>
      <c r="D28" t="s">
        <v>9</v>
      </c>
      <c r="E28" t="s">
        <v>91</v>
      </c>
      <c r="F28" s="1">
        <v>460719</v>
      </c>
      <c r="G28" s="1">
        <f>F28</f>
        <v>460719</v>
      </c>
      <c r="H28" t="s">
        <v>166</v>
      </c>
    </row>
    <row r="29" spans="1:8" x14ac:dyDescent="0.2">
      <c r="A29" t="s">
        <v>13</v>
      </c>
      <c r="B29" t="s">
        <v>96</v>
      </c>
      <c r="C29" t="s">
        <v>93</v>
      </c>
      <c r="D29" t="s">
        <v>23</v>
      </c>
      <c r="E29" t="s">
        <v>94</v>
      </c>
      <c r="F29" s="1">
        <v>421212</v>
      </c>
      <c r="G29" s="1">
        <v>32228</v>
      </c>
      <c r="H29" t="s">
        <v>166</v>
      </c>
    </row>
    <row r="30" spans="1:8" x14ac:dyDescent="0.2">
      <c r="A30" t="s">
        <v>97</v>
      </c>
      <c r="B30" t="s">
        <v>96</v>
      </c>
      <c r="C30" t="s">
        <v>98</v>
      </c>
      <c r="D30" t="s">
        <v>23</v>
      </c>
      <c r="E30" t="s">
        <v>94</v>
      </c>
      <c r="F30" s="1">
        <v>444742</v>
      </c>
      <c r="G30" s="1">
        <v>230396</v>
      </c>
      <c r="H30" t="s">
        <v>99</v>
      </c>
    </row>
    <row r="31" spans="1:8" x14ac:dyDescent="0.2">
      <c r="A31" t="s">
        <v>83</v>
      </c>
      <c r="B31" t="s">
        <v>84</v>
      </c>
      <c r="C31" t="s">
        <v>100</v>
      </c>
      <c r="D31" t="s">
        <v>23</v>
      </c>
      <c r="E31" t="s">
        <v>107</v>
      </c>
      <c r="F31" s="1">
        <v>99509</v>
      </c>
      <c r="G31" s="1">
        <v>99509</v>
      </c>
      <c r="H31" t="s">
        <v>164</v>
      </c>
    </row>
    <row r="32" spans="1:8" x14ac:dyDescent="0.2">
      <c r="A32" t="s">
        <v>26</v>
      </c>
      <c r="B32" t="s">
        <v>62</v>
      </c>
      <c r="C32" t="s">
        <v>101</v>
      </c>
      <c r="D32" t="s">
        <v>9</v>
      </c>
      <c r="E32" t="s">
        <v>102</v>
      </c>
      <c r="F32" s="1">
        <v>45000</v>
      </c>
      <c r="G32" s="1">
        <v>45000</v>
      </c>
      <c r="H32" t="s">
        <v>167</v>
      </c>
    </row>
    <row r="33" spans="1:19" x14ac:dyDescent="0.2">
      <c r="A33" t="s">
        <v>109</v>
      </c>
      <c r="B33" t="s">
        <v>110</v>
      </c>
      <c r="C33" t="s">
        <v>111</v>
      </c>
      <c r="D33" t="s">
        <v>23</v>
      </c>
      <c r="E33" t="s">
        <v>112</v>
      </c>
      <c r="F33" s="1">
        <v>368772</v>
      </c>
      <c r="G33" s="1">
        <f>F33</f>
        <v>368772</v>
      </c>
      <c r="H33" t="s">
        <v>164</v>
      </c>
    </row>
    <row r="34" spans="1:19" x14ac:dyDescent="0.2">
      <c r="A34" t="s">
        <v>69</v>
      </c>
      <c r="B34" t="s">
        <v>116</v>
      </c>
      <c r="C34" t="s">
        <v>117</v>
      </c>
      <c r="D34" t="s">
        <v>9</v>
      </c>
      <c r="E34" t="s">
        <v>118</v>
      </c>
      <c r="F34" s="2">
        <v>1000000</v>
      </c>
      <c r="G34" s="2">
        <f>F34</f>
        <v>1000000</v>
      </c>
      <c r="H34" t="s">
        <v>119</v>
      </c>
    </row>
    <row r="35" spans="1:19" x14ac:dyDescent="0.2">
      <c r="A35" t="s">
        <v>13</v>
      </c>
      <c r="B35" t="s">
        <v>43</v>
      </c>
      <c r="C35" t="s">
        <v>123</v>
      </c>
      <c r="D35" t="s">
        <v>9</v>
      </c>
      <c r="E35" t="s">
        <v>124</v>
      </c>
      <c r="F35" s="2">
        <v>419795</v>
      </c>
      <c r="G35" s="2">
        <f>F35</f>
        <v>419795</v>
      </c>
      <c r="H35" t="s">
        <v>125</v>
      </c>
    </row>
    <row r="36" spans="1:19" s="4" customFormat="1" x14ac:dyDescent="0.2">
      <c r="A36" t="s">
        <v>13</v>
      </c>
      <c r="B36" t="s">
        <v>104</v>
      </c>
      <c r="C36" t="s">
        <v>108</v>
      </c>
      <c r="D36" t="s">
        <v>9</v>
      </c>
      <c r="E36" t="s">
        <v>106</v>
      </c>
      <c r="F36" s="5">
        <v>133864</v>
      </c>
      <c r="G36" s="5">
        <f>F36</f>
        <v>133864</v>
      </c>
      <c r="H36" t="s">
        <v>105</v>
      </c>
      <c r="I3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 s="4" customFormat="1" x14ac:dyDescent="0.2">
      <c r="A37" t="s">
        <v>87</v>
      </c>
      <c r="B37" t="s">
        <v>88</v>
      </c>
      <c r="C37" t="s">
        <v>144</v>
      </c>
      <c r="D37" t="s">
        <v>9</v>
      </c>
      <c r="E37" t="s">
        <v>145</v>
      </c>
      <c r="F37" s="2">
        <v>60366</v>
      </c>
      <c r="G37" s="2">
        <v>60366</v>
      </c>
      <c r="H37" t="s">
        <v>146</v>
      </c>
      <c r="I37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s="4" customFormat="1" x14ac:dyDescent="0.2">
      <c r="A38" t="s">
        <v>13</v>
      </c>
      <c r="B38" t="s">
        <v>47</v>
      </c>
      <c r="C38" t="s">
        <v>120</v>
      </c>
      <c r="D38" t="s">
        <v>23</v>
      </c>
      <c r="E38" t="s">
        <v>121</v>
      </c>
      <c r="F38" s="2">
        <v>791669</v>
      </c>
      <c r="G38" s="2">
        <f>F38-264368</f>
        <v>527301</v>
      </c>
      <c r="H38" t="s">
        <v>122</v>
      </c>
      <c r="I38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s="4" customFormat="1" x14ac:dyDescent="0.2">
      <c r="A39" t="s">
        <v>7</v>
      </c>
      <c r="B39" t="s">
        <v>63</v>
      </c>
      <c r="C39" t="s">
        <v>113</v>
      </c>
      <c r="D39" t="s">
        <v>9</v>
      </c>
      <c r="E39" t="s">
        <v>114</v>
      </c>
      <c r="F39" s="5">
        <v>1615385</v>
      </c>
      <c r="G39" s="5">
        <v>161883</v>
      </c>
      <c r="H39" t="s">
        <v>168</v>
      </c>
      <c r="I39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s="4" customFormat="1" x14ac:dyDescent="0.2">
      <c r="A40" t="s">
        <v>13</v>
      </c>
      <c r="B40" t="s">
        <v>137</v>
      </c>
      <c r="C40" t="s">
        <v>126</v>
      </c>
      <c r="D40" t="s">
        <v>9</v>
      </c>
      <c r="E40" t="s">
        <v>173</v>
      </c>
      <c r="F40" s="2">
        <v>2168639</v>
      </c>
      <c r="G40" s="2">
        <v>1123384</v>
      </c>
      <c r="H40" t="s">
        <v>115</v>
      </c>
      <c r="I40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 s="4" customFormat="1" x14ac:dyDescent="0.2">
      <c r="A41" t="s">
        <v>127</v>
      </c>
      <c r="B41" t="s">
        <v>128</v>
      </c>
      <c r="C41" t="s">
        <v>129</v>
      </c>
      <c r="D41" t="s">
        <v>9</v>
      </c>
      <c r="E41" t="s">
        <v>130</v>
      </c>
      <c r="F41" s="2">
        <v>62442</v>
      </c>
      <c r="G41" s="2">
        <v>62442</v>
      </c>
      <c r="H41" t="s">
        <v>21</v>
      </c>
      <c r="I41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s="6" customFormat="1" x14ac:dyDescent="0.2">
      <c r="A42" s="6" t="s">
        <v>7</v>
      </c>
      <c r="B42" s="6" t="s">
        <v>131</v>
      </c>
      <c r="C42" s="6" t="s">
        <v>133</v>
      </c>
      <c r="D42" s="6" t="s">
        <v>23</v>
      </c>
      <c r="E42" s="6" t="s">
        <v>174</v>
      </c>
      <c r="F42" s="7">
        <f>1293297+G42+336303+707468+990628</f>
        <v>3531764</v>
      </c>
      <c r="G42" s="7">
        <v>204068</v>
      </c>
      <c r="H42" s="6" t="s">
        <v>132</v>
      </c>
    </row>
    <row r="43" spans="1:19" s="6" customFormat="1" x14ac:dyDescent="0.2">
      <c r="A43" s="6" t="s">
        <v>13</v>
      </c>
      <c r="B43" s="6" t="s">
        <v>134</v>
      </c>
      <c r="C43" s="6" t="s">
        <v>135</v>
      </c>
      <c r="D43" s="6" t="s">
        <v>23</v>
      </c>
      <c r="E43" s="6" t="s">
        <v>169</v>
      </c>
      <c r="F43" s="7">
        <v>465176</v>
      </c>
      <c r="G43" s="7">
        <v>48133</v>
      </c>
      <c r="H43" s="6" t="s">
        <v>136</v>
      </c>
    </row>
    <row r="44" spans="1:19" s="6" customFormat="1" x14ac:dyDescent="0.2">
      <c r="A44" s="6" t="s">
        <v>13</v>
      </c>
      <c r="B44" s="6" t="s">
        <v>43</v>
      </c>
      <c r="C44" s="6" t="s">
        <v>141</v>
      </c>
      <c r="D44" s="6" t="s">
        <v>9</v>
      </c>
      <c r="E44" s="6" t="s">
        <v>142</v>
      </c>
      <c r="F44" s="7">
        <v>137968</v>
      </c>
      <c r="G44" s="7">
        <f>F44</f>
        <v>137968</v>
      </c>
      <c r="H44" s="6" t="s">
        <v>143</v>
      </c>
    </row>
    <row r="45" spans="1:19" s="6" customFormat="1" x14ac:dyDescent="0.2">
      <c r="A45" s="6" t="s">
        <v>97</v>
      </c>
      <c r="B45" s="6" t="s">
        <v>138</v>
      </c>
      <c r="C45" s="6" t="s">
        <v>139</v>
      </c>
      <c r="D45" s="6" t="s">
        <v>23</v>
      </c>
      <c r="E45" s="6" t="s">
        <v>175</v>
      </c>
      <c r="F45" s="7">
        <v>4497426</v>
      </c>
      <c r="G45" s="7">
        <v>354698</v>
      </c>
      <c r="H45" s="6" t="s">
        <v>140</v>
      </c>
    </row>
    <row r="46" spans="1:19" s="6" customFormat="1" x14ac:dyDescent="0.2">
      <c r="A46" s="6" t="s">
        <v>150</v>
      </c>
      <c r="B46" s="6" t="s">
        <v>147</v>
      </c>
      <c r="C46" s="6" t="s">
        <v>148</v>
      </c>
      <c r="D46" s="6" t="s">
        <v>9</v>
      </c>
      <c r="E46" s="6" t="s">
        <v>176</v>
      </c>
      <c r="F46" s="7">
        <v>4500000</v>
      </c>
      <c r="G46" s="7">
        <v>1500000</v>
      </c>
      <c r="H46" s="6" t="s">
        <v>149</v>
      </c>
    </row>
    <row r="47" spans="1:19" s="6" customFormat="1" ht="34" x14ac:dyDescent="0.2">
      <c r="A47" s="8" t="s">
        <v>13</v>
      </c>
      <c r="B47" s="9" t="s">
        <v>152</v>
      </c>
      <c r="C47" s="8" t="s">
        <v>151</v>
      </c>
      <c r="D47" s="8" t="s">
        <v>9</v>
      </c>
      <c r="E47" s="8" t="s">
        <v>153</v>
      </c>
      <c r="F47" s="10">
        <v>148643</v>
      </c>
      <c r="G47" s="10">
        <f>F47</f>
        <v>148643</v>
      </c>
      <c r="H47" s="8" t="s">
        <v>154</v>
      </c>
      <c r="I47" s="8"/>
    </row>
    <row r="48" spans="1:19" s="6" customFormat="1" x14ac:dyDescent="0.2">
      <c r="A48" s="6" t="s">
        <v>150</v>
      </c>
      <c r="B48" s="6" t="s">
        <v>177</v>
      </c>
      <c r="C48" s="6" t="s">
        <v>170</v>
      </c>
      <c r="D48" s="6" t="s">
        <v>9</v>
      </c>
      <c r="E48" s="6" t="s">
        <v>171</v>
      </c>
      <c r="F48" s="7">
        <v>3284205</v>
      </c>
      <c r="G48" s="7">
        <v>1939225</v>
      </c>
      <c r="H48" s="6" t="s">
        <v>172</v>
      </c>
    </row>
    <row r="49" spans="1:8" s="6" customFormat="1" x14ac:dyDescent="0.2">
      <c r="A49" s="6" t="s">
        <v>189</v>
      </c>
      <c r="B49" s="6" t="s">
        <v>192</v>
      </c>
      <c r="C49" s="6" t="s">
        <v>191</v>
      </c>
      <c r="E49" s="6" t="s">
        <v>190</v>
      </c>
      <c r="F49" s="7"/>
      <c r="G49" s="7">
        <v>108000</v>
      </c>
    </row>
    <row r="50" spans="1:8" s="6" customFormat="1" x14ac:dyDescent="0.2">
      <c r="A50" s="6" t="s">
        <v>193</v>
      </c>
      <c r="B50" s="6" t="s">
        <v>194</v>
      </c>
      <c r="C50" s="6" t="s">
        <v>195</v>
      </c>
      <c r="E50" s="6" t="s">
        <v>196</v>
      </c>
      <c r="F50" s="7"/>
      <c r="G50" s="7">
        <v>460000</v>
      </c>
    </row>
    <row r="51" spans="1:8" s="6" customFormat="1" x14ac:dyDescent="0.2">
      <c r="A51" s="6" t="s">
        <v>13</v>
      </c>
      <c r="B51" s="6" t="s">
        <v>178</v>
      </c>
      <c r="C51" s="6" t="s">
        <v>179</v>
      </c>
      <c r="D51" s="6" t="s">
        <v>23</v>
      </c>
      <c r="E51" s="6" t="s">
        <v>180</v>
      </c>
      <c r="F51" s="7"/>
      <c r="G51" s="7">
        <v>105900</v>
      </c>
      <c r="H51" s="6" t="s">
        <v>183</v>
      </c>
    </row>
    <row r="52" spans="1:8" s="6" customFormat="1" x14ac:dyDescent="0.2">
      <c r="A52" s="6" t="s">
        <v>13</v>
      </c>
      <c r="B52" s="6" t="s">
        <v>178</v>
      </c>
      <c r="C52" s="6" t="s">
        <v>181</v>
      </c>
      <c r="D52" s="6" t="s">
        <v>23</v>
      </c>
      <c r="E52" s="6" t="s">
        <v>180</v>
      </c>
      <c r="F52" s="7"/>
      <c r="G52" s="7">
        <v>86116</v>
      </c>
      <c r="H52" s="6" t="s">
        <v>182</v>
      </c>
    </row>
    <row r="53" spans="1:8" s="6" customFormat="1" x14ac:dyDescent="0.2">
      <c r="A53" s="6" t="s">
        <v>13</v>
      </c>
      <c r="B53" s="6" t="s">
        <v>178</v>
      </c>
      <c r="C53" s="6" t="s">
        <v>184</v>
      </c>
      <c r="D53" s="6" t="s">
        <v>185</v>
      </c>
      <c r="E53" s="6" t="s">
        <v>180</v>
      </c>
      <c r="F53" s="7"/>
      <c r="G53" s="7">
        <v>0</v>
      </c>
      <c r="H53" s="6" t="s">
        <v>186</v>
      </c>
    </row>
    <row r="54" spans="1:8" s="6" customFormat="1" x14ac:dyDescent="0.2">
      <c r="A54" s="6" t="s">
        <v>13</v>
      </c>
      <c r="B54" s="6" t="s">
        <v>178</v>
      </c>
      <c r="C54" s="6" t="s">
        <v>187</v>
      </c>
      <c r="D54" s="6" t="s">
        <v>185</v>
      </c>
      <c r="E54" s="6" t="s">
        <v>180</v>
      </c>
      <c r="F54" s="7"/>
      <c r="G54" s="7">
        <v>0</v>
      </c>
      <c r="H54" s="6" t="s">
        <v>188</v>
      </c>
    </row>
    <row r="55" spans="1:8" s="6" customFormat="1" x14ac:dyDescent="0.2">
      <c r="F55" s="7"/>
      <c r="G55" s="7"/>
    </row>
    <row r="56" spans="1:8" s="6" customFormat="1" x14ac:dyDescent="0.2">
      <c r="F56" s="7"/>
      <c r="G56" s="7"/>
    </row>
    <row r="57" spans="1:8" s="6" customFormat="1" x14ac:dyDescent="0.2">
      <c r="F57" s="7"/>
      <c r="G57" s="7"/>
    </row>
    <row r="58" spans="1:8" s="6" customFormat="1" x14ac:dyDescent="0.2">
      <c r="E58" s="6" t="s">
        <v>156</v>
      </c>
      <c r="F58" s="7">
        <f>SUM(F42:F54)</f>
        <v>16565182</v>
      </c>
      <c r="G58" s="7">
        <f>SUM(G42:G54)</f>
        <v>5092751</v>
      </c>
    </row>
    <row r="59" spans="1:8" s="6" customFormat="1" x14ac:dyDescent="0.2">
      <c r="F59" s="7"/>
      <c r="G59" s="7"/>
    </row>
    <row r="60" spans="1:8" s="6" customFormat="1" x14ac:dyDescent="0.2">
      <c r="E60" s="6" t="s">
        <v>155</v>
      </c>
      <c r="F60" s="7">
        <f>SUM(F4:F57)</f>
        <v>39929792</v>
      </c>
      <c r="G60" s="7">
        <f>SUM(G4:G57)</f>
        <v>14932792</v>
      </c>
    </row>
    <row r="61" spans="1:8" s="6" customFormat="1" x14ac:dyDescent="0.2">
      <c r="F61" s="7"/>
      <c r="G61" s="7"/>
    </row>
    <row r="62" spans="1:8" x14ac:dyDescent="0.2">
      <c r="F62" s="2"/>
      <c r="G62" s="2"/>
    </row>
    <row r="63" spans="1:8" x14ac:dyDescent="0.2">
      <c r="F63" s="2"/>
      <c r="G63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Marshall</dc:creator>
  <cp:lastModifiedBy>HP Marshall</cp:lastModifiedBy>
  <dcterms:created xsi:type="dcterms:W3CDTF">2023-08-19T20:43:38Z</dcterms:created>
  <dcterms:modified xsi:type="dcterms:W3CDTF">2025-02-09T01:22:14Z</dcterms:modified>
</cp:coreProperties>
</file>